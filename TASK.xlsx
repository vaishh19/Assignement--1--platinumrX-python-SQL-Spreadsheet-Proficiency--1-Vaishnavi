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\OneDrive\Desktop\"/>
    </mc:Choice>
  </mc:AlternateContent>
  <xr:revisionPtr revIDLastSave="0" documentId="8_{440A34E1-BE94-49D0-8838-4FA3BC65AFD6}" xr6:coauthVersionLast="47" xr6:coauthVersionMax="47" xr10:uidLastSave="{00000000-0000-0000-0000-000000000000}"/>
  <bookViews>
    <workbookView xWindow="-108" yWindow="-108" windowWidth="23256" windowHeight="12456" activeTab="2" xr2:uid="{3526ACCE-0D5F-48A1-9825-C2A922BE7484}"/>
  </bookViews>
  <sheets>
    <sheet name="Sheet1" sheetId="1" r:id="rId1"/>
    <sheet name="Sheet5" sheetId="5" r:id="rId2"/>
    <sheet name="Sheet6" sheetId="6" r:id="rId3"/>
    <sheet name="Sheet4" sheetId="4" r:id="rId4"/>
    <sheet name="Sheet3" sheetId="3" r:id="rId5"/>
  </sheets>
  <calcPr calcId="191029"/>
  <pivotCaches>
    <pivotCache cacheId="7" r:id="rId6"/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H2" i="4"/>
  <c r="H3" i="4"/>
  <c r="G3" i="4"/>
  <c r="I3" i="4" s="1"/>
  <c r="G2" i="4"/>
  <c r="F3" i="4"/>
  <c r="F2" i="4"/>
  <c r="D2" i="3"/>
  <c r="D3" i="3"/>
</calcChain>
</file>

<file path=xl/sharedStrings.xml><?xml version="1.0" encoding="utf-8"?>
<sst xmlns="http://schemas.openxmlformats.org/spreadsheetml/2006/main" count="43" uniqueCount="21">
  <si>
    <t>ticket_id</t>
  </si>
  <si>
    <t>created_at</t>
  </si>
  <si>
    <t>cloed_at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</si>
  <si>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</si>
  <si>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</si>
  <si>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</si>
  <si>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</si>
  <si>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</si>
  <si>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</si>
  <si>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</si>
  <si>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feedback_at</t>
  </si>
  <si>
    <t>feedback_rating</t>
  </si>
  <si>
    <t>ticket_created_at</t>
  </si>
  <si>
    <t>HELPER</t>
  </si>
  <si>
    <t>Row Labels</t>
  </si>
  <si>
    <t>Grand Total</t>
  </si>
  <si>
    <t>Count of ticket_id</t>
  </si>
  <si>
    <t>(All)</t>
  </si>
  <si>
    <t>CREATED HOUR</t>
  </si>
  <si>
    <t>CLOSED HOUR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</si>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</sst>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1" xfId="0" applyBorder="1"/>
    <xf numFmtId="22" fontId="0" fillId="0" borderId="1" xfId="0" applyNumberFormat="1" applyBorder="1"/>
    <xf numFmtId="0" fontId="0" fillId="0" borderId="1" xfId="0" applyNumberFormat="1" applyBorder="1"/>
    <xf numFmtId="166" fontId="0" fillId="0" borderId="1" xfId="0" applyNumberFormat="1" applyBorder="1"/>
    <xf numFmtId="0" fontId="0" fillId="0" borderId="2" xfId="0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" refreshedDate="46120.900728819448" createdVersion="8" refreshedVersion="8" minRefreshableVersion="3" recordCount="2" xr:uid="{D9B05FAE-5663-4E35-93CC-849FE52F2E32}">
  <cacheSource type="worksheet">
    <worksheetSource ref="A1:F3" sheet="Sheet4"/>
  </cacheSource>
  <cacheFields count="6">
    <cacheField name="ticket_id" numFmtId="0">
      <sharedItems/>
    </cacheField>
    <cacheField name="created_at" numFmtId="22">
      <sharedItems containsSemiMixedTypes="0" containsNonDate="0" containsDate="1" containsString="0" minDate="2021-08-19T16:45:43" maxDate="2021-08-21T11:09:22"/>
    </cacheField>
    <cacheField name="cloed_at" numFmtId="22">
      <sharedItems containsSemiMixedTypes="0" containsNonDate="0" containsDate="1" containsString="0" minDate="2021-08-21T17:13:45" maxDate="2021-08-22T12:33:32"/>
    </cacheField>
    <cacheField name="outlet_id" numFmtId="0">
      <sharedItems count="2">
        <s v="wrqy-juv-978"/>
        <s v="8woh-k3u-23b"/>
      </sharedItems>
    </cacheField>
    <cacheField name="cms_id" numFmtId="0">
      <sharedItems containsBlank="1"/>
    </cacheField>
    <cacheField name="HELPER" numFmtId="22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" refreshedDate="46120.905845023146" createdVersion="8" refreshedVersion="8" minRefreshableVersion="3" recordCount="2" xr:uid="{CA858E59-9552-4A6C-8832-CD13901FC9A9}">
  <cacheSource type="worksheet">
    <worksheetSource ref="A1:I3" sheet="Sheet4"/>
  </cacheSource>
  <cacheFields count="9">
    <cacheField name="ticket_id" numFmtId="0">
      <sharedItems/>
    </cacheField>
    <cacheField name="created_at" numFmtId="22">
      <sharedItems containsSemiMixedTypes="0" containsNonDate="0" containsDate="1" containsString="0" minDate="2021-08-19T16:45:43" maxDate="2021-08-21T11:09:22"/>
    </cacheField>
    <cacheField name="cloed_at" numFmtId="22">
      <sharedItems containsSemiMixedTypes="0" containsNonDate="0" containsDate="1" containsString="0" minDate="2021-08-21T17:13:45" maxDate="2021-08-22T12:33:32"/>
    </cacheField>
    <cacheField name="outlet_id" numFmtId="0">
      <sharedItems count="2">
        <s v="wrqy-juv-978"/>
        <s v="8woh-k3u-23b"/>
      </sharedItems>
    </cacheField>
    <cacheField name="cms_id" numFmtId="0">
      <sharedItems containsBlank="1"/>
    </cacheField>
    <cacheField name="HELPER" numFmtId="22">
      <sharedItems/>
    </cacheField>
    <cacheField name="CREATED HOUR" numFmtId="22">
      <sharedItems/>
    </cacheField>
    <cacheField name="CLOSED HOUR" numFmtId="0">
      <sharedItems/>
    </cacheField>
    <cacheField name="COMPARE" numFmtId="0">
      <sharedItems count="1"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isu-sjd-457"/>
    <d v="2021-08-19T16:45:43"/>
    <d v="2021-08-22T12:33:32"/>
    <x v="0"/>
    <s v="vew-iuvd-12"/>
    <x v="0"/>
  </r>
  <r>
    <s v="qer-fal-092"/>
    <d v="2021-08-21T11:09:22"/>
    <d v="2021-08-21T17:13:45"/>
    <x v="1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isu-sjd-457"/>
    <d v="2021-08-19T16:45:43"/>
    <d v="2021-08-22T12:33:32"/>
    <x v="0"/>
    <s v="vew-iuvd-12"/>
    <s v="NO"/>
    <s v="2021-08-19 16"/>
    <s v="2021-08-22 12"/>
    <x v="0"/>
  </r>
  <r>
    <s v="qer-fal-092"/>
    <d v="2021-08-21T11:09:22"/>
    <d v="2021-08-21T17:13:45"/>
    <x v="1"/>
    <m/>
    <s v="YES"/>
    <s v="2021-08-21 11"/>
    <s v="2021-08-21 1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CB040-2272-42B6-8537-CE0190F299A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6">
    <pivotField dataField="1"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3BFCF-4553-4E63-B8AA-C8E82B50A01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9">
    <pivotField dataField="1"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8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AFB8-F87E-4B81-B903-1E3BE124A3D2}">
  <dimension ref="A1:E4"/>
  <sheetViews>
    <sheetView workbookViewId="0">
      <selection activeCell="C15" sqref="C15"/>
    </sheetView>
  </sheetViews>
  <sheetFormatPr defaultRowHeight="14.4" x14ac:dyDescent="0.3"/>
  <cols>
    <col min="1" max="1" width="9.77734375" bestFit="1" customWidth="1"/>
    <col min="2" max="3" width="14.6640625" bestFit="1" customWidth="1"/>
    <col min="4" max="4" width="12.77734375" bestFit="1" customWidth="1"/>
    <col min="5" max="5" width="11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5</v>
      </c>
      <c r="B2" s="5">
        <v>44427.698414351849</v>
      </c>
      <c r="C2" s="5">
        <v>44430.523287037038</v>
      </c>
      <c r="D2" s="6" t="s">
        <v>6</v>
      </c>
      <c r="E2" s="4" t="s">
        <v>7</v>
      </c>
    </row>
    <row r="3" spans="1:5" x14ac:dyDescent="0.3">
      <c r="A3" s="4" t="s">
        <v>8</v>
      </c>
      <c r="B3" s="5">
        <v>44429.464837962965</v>
      </c>
      <c r="C3" s="5">
        <v>44429.717881944445</v>
      </c>
      <c r="D3" s="4" t="s">
        <v>9</v>
      </c>
      <c r="E3" s="4"/>
    </row>
    <row r="4" spans="1:5" x14ac:dyDescent="0.3">
      <c r="A4" s="4"/>
      <c r="B4" s="4"/>
      <c r="C4" s="4"/>
      <c r="D4" s="4"/>
      <c r="E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80D1-7E26-4481-B253-802A8B89FA9E}">
  <dimension ref="A1:B6"/>
  <sheetViews>
    <sheetView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16.109375" bestFit="1" customWidth="1"/>
  </cols>
  <sheetData>
    <row r="1" spans="1:2" x14ac:dyDescent="0.3">
      <c r="A1" s="9" t="s">
        <v>13</v>
      </c>
      <c r="B1" t="s">
        <v>17</v>
      </c>
    </row>
    <row r="3" spans="1:2" x14ac:dyDescent="0.3">
      <c r="A3" s="9" t="s">
        <v>14</v>
      </c>
      <c r="B3" t="s">
        <v>16</v>
      </c>
    </row>
    <row r="4" spans="1:2" x14ac:dyDescent="0.3">
      <c r="A4" s="10" t="s">
        <v>9</v>
      </c>
      <c r="B4" s="3">
        <v>1</v>
      </c>
    </row>
    <row r="5" spans="1:2" x14ac:dyDescent="0.3">
      <c r="A5" s="10" t="s">
        <v>6</v>
      </c>
      <c r="B5" s="3">
        <v>1</v>
      </c>
    </row>
    <row r="6" spans="1:2" x14ac:dyDescent="0.3">
      <c r="A6" s="10" t="s">
        <v>15</v>
      </c>
      <c r="B6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2BC6-F57B-4A09-B8C3-58BCA7F4C648}">
  <dimension ref="A1:B6"/>
  <sheetViews>
    <sheetView tabSelected="1" workbookViewId="0">
      <selection activeCell="C10" sqref="C10"/>
    </sheetView>
  </sheetViews>
  <sheetFormatPr defaultRowHeight="14.4" x14ac:dyDescent="0.3"/>
  <cols>
    <col min="1" max="1" width="12.77734375" bestFit="1" customWidth="1"/>
    <col min="2" max="2" width="16.109375" bestFit="1" customWidth="1"/>
  </cols>
  <sheetData>
    <row r="1" spans="1:2" x14ac:dyDescent="0.3">
      <c r="A1" s="9" t="s">
        <v>20</v>
      </c>
      <c r="B1" t="s">
        <v>17</v>
      </c>
    </row>
    <row r="3" spans="1:2" x14ac:dyDescent="0.3">
      <c r="A3" s="9" t="s">
        <v>14</v>
      </c>
      <c r="B3" t="s">
        <v>16</v>
      </c>
    </row>
    <row r="4" spans="1:2" x14ac:dyDescent="0.3">
      <c r="A4" s="10" t="s">
        <v>9</v>
      </c>
      <c r="B4" s="3">
        <v>1</v>
      </c>
    </row>
    <row r="5" spans="1:2" x14ac:dyDescent="0.3">
      <c r="A5" s="10" t="s">
        <v>6</v>
      </c>
      <c r="B5" s="3">
        <v>1</v>
      </c>
    </row>
    <row r="6" spans="1:2" x14ac:dyDescent="0.3">
      <c r="A6" s="10" t="s">
        <v>15</v>
      </c>
      <c r="B6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3D5D-AB22-4C63-88A5-A45010F231A6}">
  <dimension ref="A1:I4"/>
  <sheetViews>
    <sheetView workbookViewId="0">
      <selection activeCell="E2" sqref="A1:I3"/>
    </sheetView>
  </sheetViews>
  <sheetFormatPr defaultRowHeight="14.4" x14ac:dyDescent="0.3"/>
  <cols>
    <col min="2" max="3" width="14.6640625" bestFit="1" customWidth="1"/>
    <col min="4" max="4" width="12.77734375" bestFit="1" customWidth="1"/>
    <col min="5" max="5" width="11" bestFit="1" customWidth="1"/>
    <col min="6" max="6" width="13.6640625" bestFit="1" customWidth="1"/>
    <col min="7" max="7" width="14.109375" bestFit="1" customWidth="1"/>
    <col min="8" max="8" width="12.886718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13</v>
      </c>
      <c r="G1" s="8" t="s">
        <v>18</v>
      </c>
      <c r="H1" s="8" t="s">
        <v>19</v>
      </c>
      <c r="I1" s="8" t="s">
        <v>20</v>
      </c>
    </row>
    <row r="2" spans="1:9" x14ac:dyDescent="0.3">
      <c r="A2" s="4" t="s">
        <v>5</v>
      </c>
      <c r="B2" s="5">
        <v>44427.698414351849</v>
      </c>
      <c r="C2" s="5">
        <v>44430.523287037038</v>
      </c>
      <c r="D2" s="6" t="s">
        <v>6</v>
      </c>
      <c r="E2" s="4" t="s">
        <v>7</v>
      </c>
      <c r="F2" s="1" t="str">
        <f>IF(INT(B2)=INT(C2), "YES", "NO")</f>
        <v>NO</v>
      </c>
      <c r="G2" s="1" t="str">
        <f>TEXT(B2,"YYYY-MM-DD HH")</f>
        <v>2021-08-19 16</v>
      </c>
      <c r="H2" t="str">
        <f>TEXT(C2,"YYYY-MM-DD HH")</f>
        <v>2021-08-22 12</v>
      </c>
      <c r="I2" t="str">
        <f>IF(G2=H2,"YES","NO")</f>
        <v>NO</v>
      </c>
    </row>
    <row r="3" spans="1:9" x14ac:dyDescent="0.3">
      <c r="A3" s="4" t="s">
        <v>8</v>
      </c>
      <c r="B3" s="5">
        <v>44429.464837962965</v>
      </c>
      <c r="C3" s="5">
        <v>44429.717881944445</v>
      </c>
      <c r="D3" s="4" t="s">
        <v>9</v>
      </c>
      <c r="E3" s="4"/>
      <c r="F3" s="1" t="str">
        <f>IF(INT(B3)=INT(C3), "YES", "NO")</f>
        <v>YES</v>
      </c>
      <c r="G3" s="1" t="str">
        <f>TEXT(B3,"YYYY-MM-DD HH")</f>
        <v>2021-08-21 11</v>
      </c>
      <c r="H3" t="str">
        <f>TEXT(C3,"YYYY-MM-DD HH")</f>
        <v>2021-08-21 17</v>
      </c>
      <c r="I3" t="str">
        <f>IF(G3=H3,"YES","NO")</f>
        <v>NO</v>
      </c>
    </row>
    <row r="4" spans="1:9" x14ac:dyDescent="0.3">
      <c r="A4" s="4"/>
      <c r="B4" s="4"/>
      <c r="C4" s="4"/>
      <c r="D4" s="4"/>
      <c r="E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2545-5091-4BEF-9710-C7F31F3C95DE}">
  <dimension ref="A1:D3"/>
  <sheetViews>
    <sheetView workbookViewId="0">
      <selection activeCell="B20" sqref="B20"/>
    </sheetView>
  </sheetViews>
  <sheetFormatPr defaultRowHeight="14.4" x14ac:dyDescent="0.3"/>
  <cols>
    <col min="1" max="1" width="11" bestFit="1" customWidth="1"/>
    <col min="2" max="2" width="14.6640625" bestFit="1" customWidth="1"/>
    <col min="3" max="3" width="14.21875" bestFit="1" customWidth="1"/>
    <col min="4" max="4" width="15.5546875" style="2" bestFit="1" customWidth="1"/>
  </cols>
  <sheetData>
    <row r="1" spans="1:4" x14ac:dyDescent="0.3">
      <c r="A1" s="4" t="s">
        <v>4</v>
      </c>
      <c r="B1" s="4" t="s">
        <v>10</v>
      </c>
      <c r="C1" s="4" t="s">
        <v>11</v>
      </c>
      <c r="D1" s="7" t="s">
        <v>12</v>
      </c>
    </row>
    <row r="2" spans="1:4" x14ac:dyDescent="0.3">
      <c r="A2" s="4" t="s">
        <v>7</v>
      </c>
      <c r="B2" s="5">
        <v>44429.560277777775</v>
      </c>
      <c r="C2" s="4">
        <v>3</v>
      </c>
      <c r="D2" s="7">
        <f>_xlfn.XLOOKUP(A2,Sheet1!E:E,Sheet1!B:B,0)</f>
        <v>44427.698414351849</v>
      </c>
    </row>
    <row r="3" spans="1:4" x14ac:dyDescent="0.3">
      <c r="A3" s="4"/>
      <c r="B3" s="4"/>
      <c r="C3" s="4"/>
      <c r="D3" s="7">
        <f>_xlfn.XLOOKUP(A3,Sheet1!E:E,Sheet1!B:B,0)</f>
        <v>44429.464837962965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Sheet6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</dc:creator>
  <cp:lastModifiedBy>Sai Krishna</cp:lastModifiedBy>
  <dcterms:created xsi:type="dcterms:W3CDTF">2026-04-08T15:08:13Z</dcterms:created>
  <dcterms:modified xsi:type="dcterms:W3CDTF">2026-04-08T16:15:54Z</dcterms:modified>
</cp:coreProperties>
</file>